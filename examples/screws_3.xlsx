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hswro\fastener_label_generator\examples\"/>
    </mc:Choice>
  </mc:AlternateContent>
  <xr:revisionPtr revIDLastSave="0" documentId="13_ncr:9_{82995C14-CEC5-41B1-9462-C3A3F6653FAB}" xr6:coauthVersionLast="47" xr6:coauthVersionMax="47" xr10:uidLastSave="{00000000-0000-0000-0000-000000000000}"/>
  <bookViews>
    <workbookView xWindow="-120" yWindow="-120" windowWidth="38640" windowHeight="21120" xr2:uid="{9A914714-87D3-482C-89BA-7BF5894C2748}"/>
  </bookViews>
  <sheets>
    <sheet name="screws_3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2" i="1"/>
  <c r="K3" i="1"/>
  <c r="K4" i="1"/>
  <c r="K5" i="1"/>
  <c r="K7" i="1"/>
  <c r="K8" i="1"/>
  <c r="K9" i="1"/>
  <c r="K10" i="1"/>
  <c r="K12" i="1"/>
  <c r="K13" i="1"/>
  <c r="K14" i="1"/>
  <c r="K15" i="1"/>
  <c r="K17" i="1"/>
  <c r="K20" i="1"/>
  <c r="K21" i="1"/>
  <c r="K22" i="1"/>
  <c r="K24" i="1"/>
  <c r="K25" i="1"/>
  <c r="K26" i="1"/>
  <c r="K27" i="1"/>
  <c r="K28" i="1"/>
  <c r="K29" i="1"/>
  <c r="K30" i="1"/>
  <c r="K31" i="1"/>
  <c r="K32" i="1"/>
  <c r="K33" i="1"/>
  <c r="K35" i="1"/>
  <c r="K36" i="1"/>
  <c r="K37" i="1"/>
  <c r="K38" i="1"/>
  <c r="K40" i="1"/>
  <c r="K41" i="1"/>
  <c r="K42" i="1"/>
  <c r="K43" i="1"/>
  <c r="K44" i="1"/>
  <c r="K47" i="1"/>
  <c r="K48" i="1"/>
  <c r="K51" i="1"/>
  <c r="K52" i="1"/>
  <c r="K56" i="1"/>
  <c r="K57" i="1"/>
  <c r="K58" i="1"/>
  <c r="K60" i="1"/>
  <c r="K65" i="1"/>
  <c r="K66" i="1"/>
  <c r="K6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2" i="1"/>
  <c r="I3" i="1"/>
  <c r="I4" i="1"/>
  <c r="I5" i="1"/>
  <c r="I7" i="1"/>
  <c r="I8" i="1"/>
  <c r="I9" i="1"/>
  <c r="I10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I36" i="1"/>
  <c r="I37" i="1"/>
  <c r="I38" i="1"/>
  <c r="I39" i="1"/>
  <c r="I40" i="1"/>
  <c r="I41" i="1"/>
  <c r="I42" i="1"/>
  <c r="I43" i="1"/>
  <c r="I44" i="1"/>
  <c r="I47" i="1"/>
  <c r="I48" i="1"/>
  <c r="I50" i="1"/>
  <c r="I51" i="1"/>
  <c r="I52" i="1"/>
  <c r="I53" i="1"/>
  <c r="I54" i="1"/>
  <c r="I56" i="1"/>
  <c r="I57" i="1"/>
  <c r="I58" i="1"/>
  <c r="I59" i="1"/>
  <c r="I60" i="1"/>
  <c r="I62" i="1"/>
  <c r="I65" i="1"/>
  <c r="I66" i="1"/>
  <c r="I67" i="1"/>
  <c r="I2" i="1"/>
</calcChain>
</file>

<file path=xl/sharedStrings.xml><?xml version="1.0" encoding="utf-8"?>
<sst xmlns="http://schemas.openxmlformats.org/spreadsheetml/2006/main" count="291" uniqueCount="118">
  <si>
    <t>Container Label</t>
  </si>
  <si>
    <t>Screw Type Description</t>
  </si>
  <si>
    <t>Diameter (mm)</t>
  </si>
  <si>
    <t>Length (mm)</t>
  </si>
  <si>
    <t>DIN Norm</t>
  </si>
  <si>
    <t>ISO Norm</t>
  </si>
  <si>
    <t>Type</t>
  </si>
  <si>
    <t>Head Drive Type</t>
  </si>
  <si>
    <t>M3x30 czarne stoÅ¼ek imbus H2</t>
  </si>
  <si>
    <t>Black Countersunk Head Socket Cap Screw</t>
  </si>
  <si>
    <t>Screw</t>
  </si>
  <si>
    <t>Hex</t>
  </si>
  <si>
    <t>M3x20 czarne stoÅ¼ek imbus H2</t>
  </si>
  <si>
    <t>M3x8 nierdzewne kulisty imbus H2</t>
  </si>
  <si>
    <t>Stainless Steel Button Head Socket Cap Screw</t>
  </si>
  <si>
    <t>M3x8 czarne stoÅ¼ek imbus H2</t>
  </si>
  <si>
    <t>M4 srebrne podkÅ‚adki</t>
  </si>
  <si>
    <t>Silver Washers</t>
  </si>
  <si>
    <t>N/A</t>
  </si>
  <si>
    <t>Washer</t>
  </si>
  <si>
    <t>M4x14 srebrne stoÅ¼ek imbus H2.5</t>
  </si>
  <si>
    <t>Silver Countersunk Head Socket Cap Screw</t>
  </si>
  <si>
    <t>M4x10 nierdzewne stoÅ¼ek imbus H2.5</t>
  </si>
  <si>
    <t>Stainless Steel Countersunk Head Socket Cap Screw</t>
  </si>
  <si>
    <t>M4x16 czarne stoÅ¼ek imbus H2.5</t>
  </si>
  <si>
    <t>M4x16 nierdzewne stoÅ¼ek imbus H2.5</t>
  </si>
  <si>
    <t>M4 srebrne nakrÄ™tki 6-kÄ…tne</t>
  </si>
  <si>
    <t>Silver Hex Nuts</t>
  </si>
  <si>
    <t>Nut</t>
  </si>
  <si>
    <t>M4x14 czarne stoÅ¼ek imbus H2.5</t>
  </si>
  <si>
    <t>M4x12 czarne stoÅ¼ek imbus H2.5</t>
  </si>
  <si>
    <t>M4x12 czarne walcowy imbus H3</t>
  </si>
  <si>
    <t>Black Cylindrical (Socket Head Cap) Screw</t>
  </si>
  <si>
    <t>M4x16 nierdzewne walcowy imbus H3</t>
  </si>
  <si>
    <t>Stainless Steel Cylindrical (Socket Head Cap) Screw</t>
  </si>
  <si>
    <t>M4x6 stalowe koÅ‚ki hartowane</t>
  </si>
  <si>
    <t>Hardened Steel Pins</t>
  </si>
  <si>
    <t>Other</t>
  </si>
  <si>
    <t>M4x20 nierdzewne stoÅ¼ek imbus H2.5</t>
  </si>
  <si>
    <t>4x31 stalowe koÅ‚ki hartowane</t>
  </si>
  <si>
    <t>Hardened Steel Dowel</t>
  </si>
  <si>
    <t>M4 srebrne nakrÄ™tki kwadrat niskie</t>
  </si>
  <si>
    <t>Silver Square Nuts Thin-Profile</t>
  </si>
  <si>
    <t>M4x12 srebrne stoÅ¼ek imbus H2.5</t>
  </si>
  <si>
    <t>M4x16 nierdzewne kulisty imbus H2.5</t>
  </si>
  <si>
    <t>M4x25 nierdzewne walcowy imbus H3</t>
  </si>
  <si>
    <t>M4x8 stalowe wkÅ‚adki gwintowane</t>
  </si>
  <si>
    <t>Hardened Steel Threaded Inserts</t>
  </si>
  <si>
    <t>M4x10 czarne stoÅ¼ek imbus H2.5</t>
  </si>
  <si>
    <t>M5x16 czarne walcowy imbus H4</t>
  </si>
  <si>
    <t>M5x8 ocynk walcowy niski imbus H4</t>
  </si>
  <si>
    <t>Zinc-Plated Low Cylindrical (Socket Head Cap) Screw</t>
  </si>
  <si>
    <t>M5x12 srebrne koÅ‚nierz imbus H3</t>
  </si>
  <si>
    <t>Silver Flanged Socket Cap Screw</t>
  </si>
  <si>
    <t>M5x16 srebrne koÅ‚nierz imbus H3</t>
  </si>
  <si>
    <t>M5x10 nierdzewne stoÅ¼ek imbus H3</t>
  </si>
  <si>
    <t>M5x16 nierdzewne walcowy imbus H4</t>
  </si>
  <si>
    <t>M5x25 nierdzewne walec imbus H4</t>
  </si>
  <si>
    <t>M5x30 srebrne walcowy imbus H4</t>
  </si>
  <si>
    <t>Silver Cylindrical (Socket Head Cap) Screw</t>
  </si>
  <si>
    <t>M5x20 srebrne stoÅ¼ek imbus H3</t>
  </si>
  <si>
    <t>M5 srebrne nakrÄ™tki 6-kÄ…tne</t>
  </si>
  <si>
    <t>M5x8 czarne stoÅ¼ek imbus H3</t>
  </si>
  <si>
    <t>M5x6 srebrne stoÅ¼ek imbus H3</t>
  </si>
  <si>
    <t>M5x16 czarne stoÅ¼ek imbus H3</t>
  </si>
  <si>
    <t>M5x10 czarne stoÅ¼ek imbus H3</t>
  </si>
  <si>
    <t>M3x14 koÅ‚nierz ocynk</t>
  </si>
  <si>
    <t>Zinc-Plated Flanged Socket Cap Screw</t>
  </si>
  <si>
    <t>M5x6 srebrne koÅ‚nierz imbus H3</t>
  </si>
  <si>
    <t>M5x8 srebrne walcowy imbus H4</t>
  </si>
  <si>
    <t>M5x10 czarne walcowy imbus H4</t>
  </si>
  <si>
    <t>M5x8 srebrne nakrÄ™tki ericson imbus H3</t>
  </si>
  <si>
    <t>Silver Ericson Hex Nut</t>
  </si>
  <si>
    <t>M5x12 srebrne stoÅ¼kowy imbus H3</t>
  </si>
  <si>
    <t>Silver Countersunk Socket Cap Screw</t>
  </si>
  <si>
    <t>M5 srebrne nakrÄ™tki kwadrat</t>
  </si>
  <si>
    <t>Silver Square Nuts</t>
  </si>
  <si>
    <t>M5 srebrne nitonakrÄ™tki</t>
  </si>
  <si>
    <t>Silver Rivet Nuts</t>
  </si>
  <si>
    <t>M5x20 czarne stoÅ¼ek imbus H3</t>
  </si>
  <si>
    <t>M5x8 czarne walcowy imbus H4</t>
  </si>
  <si>
    <t>M5 srebrne wkÅ‚adki gwintowane</t>
  </si>
  <si>
    <t>Silver Threaded Inserts</t>
  </si>
  <si>
    <t>M5x36 stalowe koÅ‚ki hartowane</t>
  </si>
  <si>
    <t>M5x25 szare walcowy imbus H4</t>
  </si>
  <si>
    <t>Gray Cylindrical (Socket Head Cap) Screw</t>
  </si>
  <si>
    <t>M5 srebrne podkÅ‚adki M5x6</t>
  </si>
  <si>
    <t>M5x6 czarna kulisty imbus</t>
  </si>
  <si>
    <t>Black Button Head Socket Cap Screw</t>
  </si>
  <si>
    <t>M5x6 czarne walcowy imbus</t>
  </si>
  <si>
    <t>M6 srebrne wkÅ‚adki gwintowane</t>
  </si>
  <si>
    <t>M6x20 nierdzewne stoÅ¼ek imbus H4</t>
  </si>
  <si>
    <t>M5x10 srebrne ericson imbus H5</t>
  </si>
  <si>
    <t>M6x35 srebrne stoÅ¼ek imbus H4</t>
  </si>
  <si>
    <t>M6x14 stalowe kulisty imbus</t>
  </si>
  <si>
    <t>Hardened Steel Button Head Socket Cap Screw</t>
  </si>
  <si>
    <t>M6x12 nierdzewne stoÅ¼ek imbus H4</t>
  </si>
  <si>
    <t>M6 srebrne nakrÄ™tki 6-kÄ…tne</t>
  </si>
  <si>
    <t>M6x36 stalowe koÅ‚ki hartowane</t>
  </si>
  <si>
    <t>M6 srebrne podkÅ‚adki</t>
  </si>
  <si>
    <t>M6 czarne podkÅ‚adki</t>
  </si>
  <si>
    <t>Black Washers</t>
  </si>
  <si>
    <t>M6x14 nierdzewne stoÅ¼ek imbus H4</t>
  </si>
  <si>
    <t>M6x25 srebrne stoÅ¼ek imbus H4</t>
  </si>
  <si>
    <t>M8x12 czarne dociskowe imbus H4</t>
  </si>
  <si>
    <t>Hexagon Socket Set Screws with Flat Point</t>
  </si>
  <si>
    <t>size</t>
  </si>
  <si>
    <t>M4</t>
  </si>
  <si>
    <t>M5</t>
  </si>
  <si>
    <t>M6</t>
  </si>
  <si>
    <t>norms</t>
  </si>
  <si>
    <t>drive_name_and_size</t>
  </si>
  <si>
    <t>7mm</t>
  </si>
  <si>
    <t>8mm</t>
  </si>
  <si>
    <t>H?</t>
  </si>
  <si>
    <t>10mm</t>
  </si>
  <si>
    <t>M?</t>
  </si>
  <si>
    <t>screw_img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</si>
</sst>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A177-948E-4407-B387-B31E0977333A}">
  <dimension ref="A1:L67"/>
  <sheetViews>
    <sheetView tabSelected="1" zoomScale="145" zoomScaleNormal="145" workbookViewId="0">
      <selection activeCell="K2" sqref="K2"/>
    </sheetView>
  </sheetViews>
  <sheetFormatPr defaultRowHeight="15" x14ac:dyDescent="0.25"/>
  <cols>
    <col min="1" max="1" width="38" bestFit="1" customWidth="1"/>
    <col min="2" max="2" width="48" bestFit="1" customWidth="1"/>
    <col min="8" max="8" width="15" bestFit="1" customWidth="1"/>
    <col min="9" max="9" width="6.5703125" bestFit="1" customWidth="1"/>
    <col min="10" max="10" width="23" customWidth="1"/>
    <col min="11" max="11" width="27.140625" customWidth="1"/>
    <col min="12" max="12" width="19" customWidth="1"/>
    <col min="13" max="13" width="1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106</v>
      </c>
      <c r="J1" t="s">
        <v>110</v>
      </c>
      <c r="K1" t="s">
        <v>111</v>
      </c>
      <c r="L1" t="s">
        <v>117</v>
      </c>
    </row>
    <row r="2" spans="1:12" x14ac:dyDescent="0.25">
      <c r="A2" t="s">
        <v>8</v>
      </c>
      <c r="B2" t="s">
        <v>9</v>
      </c>
      <c r="C2">
        <v>3</v>
      </c>
      <c r="D2">
        <v>30</v>
      </c>
      <c r="E2">
        <v>7991</v>
      </c>
      <c r="F2">
        <v>10642</v>
      </c>
      <c r="G2" t="s">
        <v>10</v>
      </c>
      <c r="H2" t="s">
        <v>11</v>
      </c>
      <c r="I2" t="str">
        <f>_xlfn.CONCAT("M",C2,"x",D2)</f>
        <v>M3x30</v>
      </c>
      <c r="J2" t="str">
        <f>_xlfn.CONCAT("ISO",F2,", ","DIN",E2)</f>
        <v>ISO10642, DIN7991</v>
      </c>
      <c r="K2" t="str">
        <f>TRIM(RIGHT(SUBSTITUTE(A2," ",REPT(" ",100)),100))</f>
        <v>H2</v>
      </c>
      <c r="L2" t="str">
        <f>_xlfn.CONCAT("ISO",F2,".svg")</f>
        <v>ISO10642.svg</v>
      </c>
    </row>
    <row r="3" spans="1:12" x14ac:dyDescent="0.25">
      <c r="A3" t="s">
        <v>12</v>
      </c>
      <c r="B3" t="s">
        <v>9</v>
      </c>
      <c r="C3">
        <v>3</v>
      </c>
      <c r="D3">
        <v>20</v>
      </c>
      <c r="E3">
        <v>7991</v>
      </c>
      <c r="F3">
        <v>10642</v>
      </c>
      <c r="G3" t="s">
        <v>10</v>
      </c>
      <c r="H3" t="s">
        <v>11</v>
      </c>
      <c r="I3" t="str">
        <f>_xlfn.CONCAT("M",C3,"x",D3)</f>
        <v>M3x20</v>
      </c>
      <c r="J3" t="str">
        <f t="shared" ref="J3:J66" si="0">_xlfn.CONCAT("ISO",F3,", ","DIN",E3)</f>
        <v>ISO10642, DIN7991</v>
      </c>
      <c r="K3" t="str">
        <f t="shared" ref="K3:K66" si="1">TRIM(RIGHT(SUBSTITUTE(A3," ",REPT(" ",100)),100))</f>
        <v>H2</v>
      </c>
      <c r="L3" t="str">
        <f t="shared" ref="L3:L66" si="2">_xlfn.CONCAT("ISO",F3,".svg")</f>
        <v>ISO10642.svg</v>
      </c>
    </row>
    <row r="4" spans="1:12" x14ac:dyDescent="0.25">
      <c r="A4" t="s">
        <v>13</v>
      </c>
      <c r="B4" t="s">
        <v>14</v>
      </c>
      <c r="C4">
        <v>3</v>
      </c>
      <c r="D4">
        <v>8</v>
      </c>
      <c r="E4">
        <v>7380</v>
      </c>
      <c r="F4">
        <v>7380</v>
      </c>
      <c r="G4" t="s">
        <v>10</v>
      </c>
      <c r="H4" t="s">
        <v>11</v>
      </c>
      <c r="I4" t="str">
        <f>_xlfn.CONCAT("M",C4,"x",D4)</f>
        <v>M3x8</v>
      </c>
      <c r="J4" t="str">
        <f t="shared" si="0"/>
        <v>ISO7380, DIN7380</v>
      </c>
      <c r="K4" t="str">
        <f t="shared" si="1"/>
        <v>H2</v>
      </c>
      <c r="L4" t="str">
        <f t="shared" si="2"/>
        <v>ISO7380.svg</v>
      </c>
    </row>
    <row r="5" spans="1:12" x14ac:dyDescent="0.25">
      <c r="A5" t="s">
        <v>15</v>
      </c>
      <c r="B5" t="s">
        <v>9</v>
      </c>
      <c r="C5">
        <v>3</v>
      </c>
      <c r="D5">
        <v>8</v>
      </c>
      <c r="E5">
        <v>7991</v>
      </c>
      <c r="F5">
        <v>10642</v>
      </c>
      <c r="G5" t="s">
        <v>10</v>
      </c>
      <c r="H5" t="s">
        <v>11</v>
      </c>
      <c r="I5" t="str">
        <f>_xlfn.CONCAT("M",C5,"x",D5)</f>
        <v>M3x8</v>
      </c>
      <c r="J5" t="str">
        <f t="shared" si="0"/>
        <v>ISO10642, DIN7991</v>
      </c>
      <c r="K5" t="str">
        <f t="shared" si="1"/>
        <v>H2</v>
      </c>
      <c r="L5" t="str">
        <f t="shared" si="2"/>
        <v>ISO10642.svg</v>
      </c>
    </row>
    <row r="6" spans="1:12" x14ac:dyDescent="0.25">
      <c r="A6" t="s">
        <v>16</v>
      </c>
      <c r="B6" t="s">
        <v>17</v>
      </c>
      <c r="C6">
        <v>4</v>
      </c>
      <c r="D6" t="s">
        <v>18</v>
      </c>
      <c r="E6">
        <v>125</v>
      </c>
      <c r="F6">
        <v>7089</v>
      </c>
      <c r="G6" t="s">
        <v>19</v>
      </c>
      <c r="I6" t="s">
        <v>107</v>
      </c>
      <c r="J6" t="str">
        <f t="shared" si="0"/>
        <v>ISO7089, DIN125</v>
      </c>
      <c r="L6" t="str">
        <f t="shared" si="2"/>
        <v>ISO7089.svg</v>
      </c>
    </row>
    <row r="7" spans="1:12" x14ac:dyDescent="0.25">
      <c r="A7" t="s">
        <v>20</v>
      </c>
      <c r="B7" t="s">
        <v>21</v>
      </c>
      <c r="C7">
        <v>4</v>
      </c>
      <c r="D7">
        <v>14</v>
      </c>
      <c r="E7">
        <v>7991</v>
      </c>
      <c r="F7">
        <v>10642</v>
      </c>
      <c r="G7" t="s">
        <v>10</v>
      </c>
      <c r="H7" t="s">
        <v>11</v>
      </c>
      <c r="I7" t="str">
        <f>_xlfn.CONCAT("M",C7,"x",D7)</f>
        <v>M4x14</v>
      </c>
      <c r="J7" t="str">
        <f t="shared" si="0"/>
        <v>ISO10642, DIN7991</v>
      </c>
      <c r="K7" t="str">
        <f t="shared" si="1"/>
        <v>H2.5</v>
      </c>
      <c r="L7" t="str">
        <f t="shared" si="2"/>
        <v>ISO10642.svg</v>
      </c>
    </row>
    <row r="8" spans="1:12" x14ac:dyDescent="0.25">
      <c r="A8" t="s">
        <v>22</v>
      </c>
      <c r="B8" t="s">
        <v>23</v>
      </c>
      <c r="C8">
        <v>4</v>
      </c>
      <c r="D8">
        <v>10</v>
      </c>
      <c r="E8">
        <v>7991</v>
      </c>
      <c r="F8">
        <v>10642</v>
      </c>
      <c r="G8" t="s">
        <v>10</v>
      </c>
      <c r="H8" t="s">
        <v>11</v>
      </c>
      <c r="I8" t="str">
        <f>_xlfn.CONCAT("M",C8,"x",D8)</f>
        <v>M4x10</v>
      </c>
      <c r="J8" t="str">
        <f t="shared" si="0"/>
        <v>ISO10642, DIN7991</v>
      </c>
      <c r="K8" t="str">
        <f t="shared" si="1"/>
        <v>H2.5</v>
      </c>
      <c r="L8" t="str">
        <f t="shared" si="2"/>
        <v>ISO10642.svg</v>
      </c>
    </row>
    <row r="9" spans="1:12" x14ac:dyDescent="0.25">
      <c r="A9" t="s">
        <v>24</v>
      </c>
      <c r="B9" t="s">
        <v>9</v>
      </c>
      <c r="C9">
        <v>4</v>
      </c>
      <c r="D9">
        <v>16</v>
      </c>
      <c r="E9">
        <v>7991</v>
      </c>
      <c r="F9">
        <v>10642</v>
      </c>
      <c r="G9" t="s">
        <v>10</v>
      </c>
      <c r="H9" t="s">
        <v>11</v>
      </c>
      <c r="I9" t="str">
        <f>_xlfn.CONCAT("M",C9,"x",D9)</f>
        <v>M4x16</v>
      </c>
      <c r="J9" t="str">
        <f t="shared" si="0"/>
        <v>ISO10642, DIN7991</v>
      </c>
      <c r="K9" t="str">
        <f t="shared" si="1"/>
        <v>H2.5</v>
      </c>
      <c r="L9" t="str">
        <f t="shared" si="2"/>
        <v>ISO10642.svg</v>
      </c>
    </row>
    <row r="10" spans="1:12" x14ac:dyDescent="0.25">
      <c r="A10" t="s">
        <v>25</v>
      </c>
      <c r="B10" t="s">
        <v>23</v>
      </c>
      <c r="C10">
        <v>4</v>
      </c>
      <c r="D10">
        <v>16</v>
      </c>
      <c r="E10">
        <v>7991</v>
      </c>
      <c r="F10">
        <v>10642</v>
      </c>
      <c r="G10" t="s">
        <v>10</v>
      </c>
      <c r="H10" t="s">
        <v>11</v>
      </c>
      <c r="I10" t="str">
        <f>_xlfn.CONCAT("M",C10,"x",D10)</f>
        <v>M4x16</v>
      </c>
      <c r="J10" t="str">
        <f t="shared" si="0"/>
        <v>ISO10642, DIN7991</v>
      </c>
      <c r="K10" t="str">
        <f t="shared" si="1"/>
        <v>H2.5</v>
      </c>
      <c r="L10" t="str">
        <f t="shared" si="2"/>
        <v>ISO10642.svg</v>
      </c>
    </row>
    <row r="11" spans="1:12" x14ac:dyDescent="0.25">
      <c r="A11" t="s">
        <v>26</v>
      </c>
      <c r="B11" t="s">
        <v>27</v>
      </c>
      <c r="C11">
        <v>4</v>
      </c>
      <c r="D11" t="s">
        <v>18</v>
      </c>
      <c r="E11">
        <v>934</v>
      </c>
      <c r="F11">
        <v>4032</v>
      </c>
      <c r="G11" t="s">
        <v>28</v>
      </c>
      <c r="H11" t="s">
        <v>11</v>
      </c>
      <c r="I11" t="s">
        <v>107</v>
      </c>
      <c r="J11" t="str">
        <f t="shared" si="0"/>
        <v>ISO4032, DIN934</v>
      </c>
      <c r="K11" t="s">
        <v>112</v>
      </c>
      <c r="L11" t="str">
        <f t="shared" si="2"/>
        <v>ISO4032.svg</v>
      </c>
    </row>
    <row r="12" spans="1:12" x14ac:dyDescent="0.25">
      <c r="A12" t="s">
        <v>29</v>
      </c>
      <c r="B12" t="s">
        <v>9</v>
      </c>
      <c r="C12">
        <v>4</v>
      </c>
      <c r="D12">
        <v>14</v>
      </c>
      <c r="E12">
        <v>7991</v>
      </c>
      <c r="F12">
        <v>10642</v>
      </c>
      <c r="G12" t="s">
        <v>10</v>
      </c>
      <c r="H12" t="s">
        <v>11</v>
      </c>
      <c r="I12" t="str">
        <f>_xlfn.CONCAT("M",C12,"x",D12)</f>
        <v>M4x14</v>
      </c>
      <c r="J12" t="str">
        <f t="shared" si="0"/>
        <v>ISO10642, DIN7991</v>
      </c>
      <c r="K12" t="str">
        <f t="shared" si="1"/>
        <v>H2.5</v>
      </c>
      <c r="L12" t="str">
        <f t="shared" si="2"/>
        <v>ISO10642.svg</v>
      </c>
    </row>
    <row r="13" spans="1:12" x14ac:dyDescent="0.25">
      <c r="A13" t="s">
        <v>30</v>
      </c>
      <c r="B13" t="s">
        <v>9</v>
      </c>
      <c r="C13">
        <v>4</v>
      </c>
      <c r="D13">
        <v>12</v>
      </c>
      <c r="E13">
        <v>7991</v>
      </c>
      <c r="F13">
        <v>10642</v>
      </c>
      <c r="G13" t="s">
        <v>10</v>
      </c>
      <c r="H13" t="s">
        <v>11</v>
      </c>
      <c r="I13" t="str">
        <f>_xlfn.CONCAT("M",C13,"x",D13)</f>
        <v>M4x12</v>
      </c>
      <c r="J13" t="str">
        <f t="shared" si="0"/>
        <v>ISO10642, DIN7991</v>
      </c>
      <c r="K13" t="str">
        <f t="shared" si="1"/>
        <v>H2.5</v>
      </c>
      <c r="L13" t="str">
        <f t="shared" si="2"/>
        <v>ISO10642.svg</v>
      </c>
    </row>
    <row r="14" spans="1:12" x14ac:dyDescent="0.25">
      <c r="A14" t="s">
        <v>31</v>
      </c>
      <c r="B14" t="s">
        <v>32</v>
      </c>
      <c r="C14">
        <v>4</v>
      </c>
      <c r="D14">
        <v>12</v>
      </c>
      <c r="E14">
        <v>912</v>
      </c>
      <c r="F14">
        <v>4762</v>
      </c>
      <c r="G14" t="s">
        <v>10</v>
      </c>
      <c r="H14" t="s">
        <v>11</v>
      </c>
      <c r="I14" t="str">
        <f>_xlfn.CONCAT("M",C14,"x",D14)</f>
        <v>M4x12</v>
      </c>
      <c r="J14" t="str">
        <f t="shared" si="0"/>
        <v>ISO4762, DIN912</v>
      </c>
      <c r="K14" t="str">
        <f t="shared" si="1"/>
        <v>H3</v>
      </c>
      <c r="L14" t="str">
        <f t="shared" si="2"/>
        <v>ISO4762.svg</v>
      </c>
    </row>
    <row r="15" spans="1:12" x14ac:dyDescent="0.25">
      <c r="A15" t="s">
        <v>33</v>
      </c>
      <c r="B15" t="s">
        <v>34</v>
      </c>
      <c r="C15">
        <v>4</v>
      </c>
      <c r="D15">
        <v>16</v>
      </c>
      <c r="E15">
        <v>912</v>
      </c>
      <c r="F15">
        <v>4762</v>
      </c>
      <c r="G15" t="s">
        <v>10</v>
      </c>
      <c r="H15" t="s">
        <v>11</v>
      </c>
      <c r="I15" t="str">
        <f>_xlfn.CONCAT("M",C15,"x",D15)</f>
        <v>M4x16</v>
      </c>
      <c r="J15" t="str">
        <f t="shared" si="0"/>
        <v>ISO4762, DIN912</v>
      </c>
      <c r="K15" t="str">
        <f t="shared" si="1"/>
        <v>H3</v>
      </c>
      <c r="L15" t="str">
        <f t="shared" si="2"/>
        <v>ISO4762.svg</v>
      </c>
    </row>
    <row r="16" spans="1:12" x14ac:dyDescent="0.25">
      <c r="A16" t="s">
        <v>35</v>
      </c>
      <c r="B16" t="s">
        <v>36</v>
      </c>
      <c r="C16">
        <v>4</v>
      </c>
      <c r="D16">
        <v>6</v>
      </c>
      <c r="E16">
        <v>5140</v>
      </c>
      <c r="F16">
        <v>6792</v>
      </c>
      <c r="G16" t="s">
        <v>37</v>
      </c>
      <c r="I16" t="str">
        <f>_xlfn.CONCAT("M",C16,"x",D16)</f>
        <v>M4x6</v>
      </c>
      <c r="J16" t="str">
        <f t="shared" si="0"/>
        <v>ISO6792, DIN5140</v>
      </c>
      <c r="L16" t="str">
        <f t="shared" si="2"/>
        <v>ISO6792.svg</v>
      </c>
    </row>
    <row r="17" spans="1:12" x14ac:dyDescent="0.25">
      <c r="A17" t="s">
        <v>38</v>
      </c>
      <c r="B17" t="s">
        <v>23</v>
      </c>
      <c r="C17">
        <v>4</v>
      </c>
      <c r="D17">
        <v>20</v>
      </c>
      <c r="E17">
        <v>7991</v>
      </c>
      <c r="F17">
        <v>10642</v>
      </c>
      <c r="G17" t="s">
        <v>10</v>
      </c>
      <c r="H17" t="s">
        <v>11</v>
      </c>
      <c r="I17" t="str">
        <f>_xlfn.CONCAT("M",C17,"x",D17)</f>
        <v>M4x20</v>
      </c>
      <c r="J17" t="str">
        <f t="shared" si="0"/>
        <v>ISO10642, DIN7991</v>
      </c>
      <c r="K17" t="str">
        <f t="shared" si="1"/>
        <v>H2.5</v>
      </c>
      <c r="L17" t="str">
        <f t="shared" si="2"/>
        <v>ISO10642.svg</v>
      </c>
    </row>
    <row r="18" spans="1:12" x14ac:dyDescent="0.25">
      <c r="A18" t="s">
        <v>39</v>
      </c>
      <c r="B18" t="s">
        <v>40</v>
      </c>
      <c r="C18">
        <v>4</v>
      </c>
      <c r="D18">
        <v>31</v>
      </c>
      <c r="E18">
        <v>6325</v>
      </c>
      <c r="F18">
        <v>8734</v>
      </c>
      <c r="G18" t="s">
        <v>37</v>
      </c>
      <c r="I18" t="str">
        <f>_xlfn.CONCAT("M",C18,"x",D18)</f>
        <v>M4x31</v>
      </c>
      <c r="J18" t="str">
        <f t="shared" si="0"/>
        <v>ISO8734, DIN6325</v>
      </c>
      <c r="L18" t="str">
        <f t="shared" si="2"/>
        <v>ISO8734.svg</v>
      </c>
    </row>
    <row r="19" spans="1:12" x14ac:dyDescent="0.25">
      <c r="A19" t="s">
        <v>41</v>
      </c>
      <c r="B19" t="s">
        <v>42</v>
      </c>
      <c r="C19">
        <v>4</v>
      </c>
      <c r="D19" t="s">
        <v>18</v>
      </c>
      <c r="E19">
        <v>562</v>
      </c>
      <c r="G19" t="s">
        <v>28</v>
      </c>
      <c r="I19" t="s">
        <v>107</v>
      </c>
      <c r="J19" t="str">
        <f t="shared" si="0"/>
        <v>ISO, DIN562</v>
      </c>
      <c r="K19" t="s">
        <v>112</v>
      </c>
      <c r="L19" t="str">
        <f t="shared" si="2"/>
        <v>ISO.svg</v>
      </c>
    </row>
    <row r="20" spans="1:12" x14ac:dyDescent="0.25">
      <c r="A20" t="s">
        <v>43</v>
      </c>
      <c r="B20" t="s">
        <v>21</v>
      </c>
      <c r="C20">
        <v>4</v>
      </c>
      <c r="D20">
        <v>12</v>
      </c>
      <c r="E20">
        <v>7991</v>
      </c>
      <c r="F20">
        <v>10642</v>
      </c>
      <c r="G20" t="s">
        <v>10</v>
      </c>
      <c r="H20" t="s">
        <v>11</v>
      </c>
      <c r="I20" t="str">
        <f>_xlfn.CONCAT("M",C20,"x",D20)</f>
        <v>M4x12</v>
      </c>
      <c r="J20" t="str">
        <f t="shared" si="0"/>
        <v>ISO10642, DIN7991</v>
      </c>
      <c r="K20" t="str">
        <f t="shared" si="1"/>
        <v>H2.5</v>
      </c>
      <c r="L20" t="str">
        <f t="shared" si="2"/>
        <v>ISO10642.svg</v>
      </c>
    </row>
    <row r="21" spans="1:12" x14ac:dyDescent="0.25">
      <c r="A21" t="s">
        <v>44</v>
      </c>
      <c r="B21" t="s">
        <v>14</v>
      </c>
      <c r="C21">
        <v>4</v>
      </c>
      <c r="D21">
        <v>16</v>
      </c>
      <c r="E21">
        <v>7380</v>
      </c>
      <c r="F21">
        <v>7380</v>
      </c>
      <c r="G21" t="s">
        <v>10</v>
      </c>
      <c r="H21" t="s">
        <v>11</v>
      </c>
      <c r="I21" t="str">
        <f>_xlfn.CONCAT("M",C21,"x",D21)</f>
        <v>M4x16</v>
      </c>
      <c r="J21" t="str">
        <f t="shared" si="0"/>
        <v>ISO7380, DIN7380</v>
      </c>
      <c r="K21" t="str">
        <f t="shared" si="1"/>
        <v>H2.5</v>
      </c>
      <c r="L21" t="str">
        <f t="shared" si="2"/>
        <v>ISO7380.svg</v>
      </c>
    </row>
    <row r="22" spans="1:12" x14ac:dyDescent="0.25">
      <c r="A22" t="s">
        <v>45</v>
      </c>
      <c r="B22" t="s">
        <v>34</v>
      </c>
      <c r="C22">
        <v>4</v>
      </c>
      <c r="D22">
        <v>25</v>
      </c>
      <c r="E22">
        <v>912</v>
      </c>
      <c r="F22">
        <v>4762</v>
      </c>
      <c r="G22" t="s">
        <v>10</v>
      </c>
      <c r="H22" t="s">
        <v>11</v>
      </c>
      <c r="I22" t="str">
        <f>_xlfn.CONCAT("M",C22,"x",D22)</f>
        <v>M4x25</v>
      </c>
      <c r="J22" t="str">
        <f t="shared" si="0"/>
        <v>ISO4762, DIN912</v>
      </c>
      <c r="K22" t="str">
        <f t="shared" si="1"/>
        <v>H3</v>
      </c>
      <c r="L22" t="str">
        <f t="shared" si="2"/>
        <v>ISO4762.svg</v>
      </c>
    </row>
    <row r="23" spans="1:12" x14ac:dyDescent="0.25">
      <c r="A23" t="s">
        <v>46</v>
      </c>
      <c r="B23" t="s">
        <v>47</v>
      </c>
      <c r="C23">
        <v>4</v>
      </c>
      <c r="D23">
        <v>8</v>
      </c>
      <c r="G23" t="s">
        <v>37</v>
      </c>
      <c r="I23" t="str">
        <f>_xlfn.CONCAT("M",C23,"x",D23)</f>
        <v>M4x8</v>
      </c>
      <c r="J23" t="str">
        <f t="shared" si="0"/>
        <v>ISO, DIN</v>
      </c>
      <c r="L23" t="str">
        <f t="shared" si="2"/>
        <v>ISO.svg</v>
      </c>
    </row>
    <row r="24" spans="1:12" x14ac:dyDescent="0.25">
      <c r="A24" t="s">
        <v>48</v>
      </c>
      <c r="B24" t="s">
        <v>9</v>
      </c>
      <c r="C24">
        <v>4</v>
      </c>
      <c r="D24">
        <v>10</v>
      </c>
      <c r="E24">
        <v>7991</v>
      </c>
      <c r="F24">
        <v>10642</v>
      </c>
      <c r="G24" t="s">
        <v>10</v>
      </c>
      <c r="H24" t="s">
        <v>11</v>
      </c>
      <c r="I24" t="str">
        <f>_xlfn.CONCAT("M",C24,"x",D24)</f>
        <v>M4x10</v>
      </c>
      <c r="J24" t="str">
        <f t="shared" si="0"/>
        <v>ISO10642, DIN7991</v>
      </c>
      <c r="K24" t="str">
        <f t="shared" si="1"/>
        <v>H2.5</v>
      </c>
      <c r="L24" t="str">
        <f t="shared" si="2"/>
        <v>ISO10642.svg</v>
      </c>
    </row>
    <row r="25" spans="1:12" x14ac:dyDescent="0.25">
      <c r="A25" t="s">
        <v>49</v>
      </c>
      <c r="B25" t="s">
        <v>32</v>
      </c>
      <c r="C25">
        <v>5</v>
      </c>
      <c r="D25">
        <v>16</v>
      </c>
      <c r="E25">
        <v>912</v>
      </c>
      <c r="F25">
        <v>4762</v>
      </c>
      <c r="G25" t="s">
        <v>10</v>
      </c>
      <c r="H25" t="s">
        <v>11</v>
      </c>
      <c r="I25" t="str">
        <f>_xlfn.CONCAT("M",C25,"x",D25)</f>
        <v>M5x16</v>
      </c>
      <c r="J25" t="str">
        <f t="shared" si="0"/>
        <v>ISO4762, DIN912</v>
      </c>
      <c r="K25" t="str">
        <f t="shared" si="1"/>
        <v>H4</v>
      </c>
      <c r="L25" t="str">
        <f t="shared" si="2"/>
        <v>ISO4762.svg</v>
      </c>
    </row>
    <row r="26" spans="1:12" x14ac:dyDescent="0.25">
      <c r="A26" t="s">
        <v>50</v>
      </c>
      <c r="B26" t="s">
        <v>51</v>
      </c>
      <c r="C26">
        <v>5</v>
      </c>
      <c r="D26">
        <v>8</v>
      </c>
      <c r="E26">
        <v>912</v>
      </c>
      <c r="F26">
        <v>4762</v>
      </c>
      <c r="G26" t="s">
        <v>10</v>
      </c>
      <c r="H26" t="s">
        <v>11</v>
      </c>
      <c r="I26" t="str">
        <f>_xlfn.CONCAT("M",C26,"x",D26)</f>
        <v>M5x8</v>
      </c>
      <c r="J26" t="str">
        <f t="shared" si="0"/>
        <v>ISO4762, DIN912</v>
      </c>
      <c r="K26" t="str">
        <f t="shared" si="1"/>
        <v>H4</v>
      </c>
      <c r="L26" t="str">
        <f t="shared" si="2"/>
        <v>ISO4762.svg</v>
      </c>
    </row>
    <row r="27" spans="1:12" x14ac:dyDescent="0.25">
      <c r="A27" t="s">
        <v>52</v>
      </c>
      <c r="B27" t="s">
        <v>53</v>
      </c>
      <c r="C27">
        <v>5</v>
      </c>
      <c r="D27">
        <v>12</v>
      </c>
      <c r="E27">
        <v>912</v>
      </c>
      <c r="F27">
        <v>4762</v>
      </c>
      <c r="G27" t="s">
        <v>10</v>
      </c>
      <c r="H27" t="s">
        <v>11</v>
      </c>
      <c r="I27" t="str">
        <f>_xlfn.CONCAT("M",C27,"x",D27)</f>
        <v>M5x12</v>
      </c>
      <c r="J27" t="str">
        <f t="shared" si="0"/>
        <v>ISO4762, DIN912</v>
      </c>
      <c r="K27" t="str">
        <f t="shared" si="1"/>
        <v>H3</v>
      </c>
      <c r="L27" t="str">
        <f t="shared" si="2"/>
        <v>ISO4762.svg</v>
      </c>
    </row>
    <row r="28" spans="1:12" x14ac:dyDescent="0.25">
      <c r="A28" t="s">
        <v>54</v>
      </c>
      <c r="B28" t="s">
        <v>53</v>
      </c>
      <c r="C28">
        <v>5</v>
      </c>
      <c r="D28">
        <v>16</v>
      </c>
      <c r="E28">
        <v>912</v>
      </c>
      <c r="F28">
        <v>4762</v>
      </c>
      <c r="G28" t="s">
        <v>10</v>
      </c>
      <c r="H28" t="s">
        <v>11</v>
      </c>
      <c r="I28" t="str">
        <f>_xlfn.CONCAT("M",C28,"x",D28)</f>
        <v>M5x16</v>
      </c>
      <c r="J28" t="str">
        <f t="shared" si="0"/>
        <v>ISO4762, DIN912</v>
      </c>
      <c r="K28" t="str">
        <f t="shared" si="1"/>
        <v>H3</v>
      </c>
      <c r="L28" t="str">
        <f t="shared" si="2"/>
        <v>ISO4762.svg</v>
      </c>
    </row>
    <row r="29" spans="1:12" x14ac:dyDescent="0.25">
      <c r="A29" t="s">
        <v>55</v>
      </c>
      <c r="B29" t="s">
        <v>23</v>
      </c>
      <c r="C29">
        <v>5</v>
      </c>
      <c r="D29">
        <v>10</v>
      </c>
      <c r="E29">
        <v>7991</v>
      </c>
      <c r="F29">
        <v>10642</v>
      </c>
      <c r="G29" t="s">
        <v>10</v>
      </c>
      <c r="H29" t="s">
        <v>11</v>
      </c>
      <c r="I29" t="str">
        <f>_xlfn.CONCAT("M",C29,"x",D29)</f>
        <v>M5x10</v>
      </c>
      <c r="J29" t="str">
        <f t="shared" si="0"/>
        <v>ISO10642, DIN7991</v>
      </c>
      <c r="K29" t="str">
        <f t="shared" si="1"/>
        <v>H3</v>
      </c>
      <c r="L29" t="str">
        <f t="shared" si="2"/>
        <v>ISO10642.svg</v>
      </c>
    </row>
    <row r="30" spans="1:12" x14ac:dyDescent="0.25">
      <c r="A30" t="s">
        <v>56</v>
      </c>
      <c r="B30" t="s">
        <v>34</v>
      </c>
      <c r="C30">
        <v>5</v>
      </c>
      <c r="D30">
        <v>16</v>
      </c>
      <c r="E30">
        <v>912</v>
      </c>
      <c r="F30">
        <v>4762</v>
      </c>
      <c r="G30" t="s">
        <v>10</v>
      </c>
      <c r="H30" t="s">
        <v>11</v>
      </c>
      <c r="I30" t="str">
        <f>_xlfn.CONCAT("M",C30,"x",D30)</f>
        <v>M5x16</v>
      </c>
      <c r="J30" t="str">
        <f t="shared" si="0"/>
        <v>ISO4762, DIN912</v>
      </c>
      <c r="K30" t="str">
        <f t="shared" si="1"/>
        <v>H4</v>
      </c>
      <c r="L30" t="str">
        <f t="shared" si="2"/>
        <v>ISO4762.svg</v>
      </c>
    </row>
    <row r="31" spans="1:12" x14ac:dyDescent="0.25">
      <c r="A31" t="s">
        <v>57</v>
      </c>
      <c r="B31" t="s">
        <v>34</v>
      </c>
      <c r="C31">
        <v>5</v>
      </c>
      <c r="D31">
        <v>25</v>
      </c>
      <c r="E31">
        <v>912</v>
      </c>
      <c r="F31">
        <v>4762</v>
      </c>
      <c r="G31" t="s">
        <v>10</v>
      </c>
      <c r="H31" t="s">
        <v>11</v>
      </c>
      <c r="I31" t="str">
        <f>_xlfn.CONCAT("M",C31,"x",D31)</f>
        <v>M5x25</v>
      </c>
      <c r="J31" t="str">
        <f t="shared" si="0"/>
        <v>ISO4762, DIN912</v>
      </c>
      <c r="K31" t="str">
        <f t="shared" si="1"/>
        <v>H4</v>
      </c>
      <c r="L31" t="str">
        <f t="shared" si="2"/>
        <v>ISO4762.svg</v>
      </c>
    </row>
    <row r="32" spans="1:12" x14ac:dyDescent="0.25">
      <c r="A32" t="s">
        <v>58</v>
      </c>
      <c r="B32" t="s">
        <v>59</v>
      </c>
      <c r="C32">
        <v>5</v>
      </c>
      <c r="D32">
        <v>30</v>
      </c>
      <c r="E32">
        <v>912</v>
      </c>
      <c r="F32">
        <v>4762</v>
      </c>
      <c r="G32" t="s">
        <v>10</v>
      </c>
      <c r="H32" t="s">
        <v>11</v>
      </c>
      <c r="I32" t="str">
        <f>_xlfn.CONCAT("M",C32,"x",D32)</f>
        <v>M5x30</v>
      </c>
      <c r="J32" t="str">
        <f t="shared" si="0"/>
        <v>ISO4762, DIN912</v>
      </c>
      <c r="K32" t="str">
        <f t="shared" si="1"/>
        <v>H4</v>
      </c>
      <c r="L32" t="str">
        <f t="shared" si="2"/>
        <v>ISO4762.svg</v>
      </c>
    </row>
    <row r="33" spans="1:12" x14ac:dyDescent="0.25">
      <c r="A33" t="s">
        <v>60</v>
      </c>
      <c r="B33" t="s">
        <v>21</v>
      </c>
      <c r="C33">
        <v>5</v>
      </c>
      <c r="D33">
        <v>20</v>
      </c>
      <c r="E33">
        <v>7991</v>
      </c>
      <c r="F33">
        <v>10642</v>
      </c>
      <c r="G33" t="s">
        <v>10</v>
      </c>
      <c r="H33" t="s">
        <v>11</v>
      </c>
      <c r="I33" t="str">
        <f>_xlfn.CONCAT("M",C33,"x",D33)</f>
        <v>M5x20</v>
      </c>
      <c r="J33" t="str">
        <f t="shared" si="0"/>
        <v>ISO10642, DIN7991</v>
      </c>
      <c r="K33" t="str">
        <f t="shared" si="1"/>
        <v>H3</v>
      </c>
      <c r="L33" t="str">
        <f t="shared" si="2"/>
        <v>ISO10642.svg</v>
      </c>
    </row>
    <row r="34" spans="1:12" x14ac:dyDescent="0.25">
      <c r="A34" t="s">
        <v>61</v>
      </c>
      <c r="B34" t="s">
        <v>27</v>
      </c>
      <c r="C34">
        <v>5</v>
      </c>
      <c r="D34" t="s">
        <v>18</v>
      </c>
      <c r="E34">
        <v>934</v>
      </c>
      <c r="F34">
        <v>4032</v>
      </c>
      <c r="G34" t="s">
        <v>28</v>
      </c>
      <c r="H34" t="s">
        <v>11</v>
      </c>
      <c r="I34" t="s">
        <v>108</v>
      </c>
      <c r="J34" t="str">
        <f t="shared" si="0"/>
        <v>ISO4032, DIN934</v>
      </c>
      <c r="K34" t="s">
        <v>113</v>
      </c>
      <c r="L34" t="str">
        <f t="shared" si="2"/>
        <v>ISO4032.svg</v>
      </c>
    </row>
    <row r="35" spans="1:12" x14ac:dyDescent="0.25">
      <c r="A35" t="s">
        <v>62</v>
      </c>
      <c r="B35" t="s">
        <v>9</v>
      </c>
      <c r="C35">
        <v>5</v>
      </c>
      <c r="D35">
        <v>8</v>
      </c>
      <c r="E35">
        <v>7991</v>
      </c>
      <c r="F35">
        <v>10642</v>
      </c>
      <c r="G35" t="s">
        <v>10</v>
      </c>
      <c r="H35" t="s">
        <v>11</v>
      </c>
      <c r="I35" t="str">
        <f>_xlfn.CONCAT("M",C35,"x",D35)</f>
        <v>M5x8</v>
      </c>
      <c r="J35" t="str">
        <f t="shared" si="0"/>
        <v>ISO10642, DIN7991</v>
      </c>
      <c r="K35" t="str">
        <f t="shared" si="1"/>
        <v>H3</v>
      </c>
      <c r="L35" t="str">
        <f t="shared" si="2"/>
        <v>ISO10642.svg</v>
      </c>
    </row>
    <row r="36" spans="1:12" x14ac:dyDescent="0.25">
      <c r="A36" t="s">
        <v>63</v>
      </c>
      <c r="B36" t="s">
        <v>21</v>
      </c>
      <c r="C36">
        <v>5</v>
      </c>
      <c r="D36">
        <v>6</v>
      </c>
      <c r="E36">
        <v>7991</v>
      </c>
      <c r="F36">
        <v>10642</v>
      </c>
      <c r="G36" t="s">
        <v>10</v>
      </c>
      <c r="H36" t="s">
        <v>11</v>
      </c>
      <c r="I36" t="str">
        <f>_xlfn.CONCAT("M",C36,"x",D36)</f>
        <v>M5x6</v>
      </c>
      <c r="J36" t="str">
        <f t="shared" si="0"/>
        <v>ISO10642, DIN7991</v>
      </c>
      <c r="K36" t="str">
        <f t="shared" si="1"/>
        <v>H3</v>
      </c>
      <c r="L36" t="str">
        <f t="shared" si="2"/>
        <v>ISO10642.svg</v>
      </c>
    </row>
    <row r="37" spans="1:12" x14ac:dyDescent="0.25">
      <c r="A37" t="s">
        <v>64</v>
      </c>
      <c r="B37" t="s">
        <v>9</v>
      </c>
      <c r="C37">
        <v>5</v>
      </c>
      <c r="D37">
        <v>16</v>
      </c>
      <c r="E37">
        <v>7991</v>
      </c>
      <c r="F37">
        <v>10642</v>
      </c>
      <c r="G37" t="s">
        <v>10</v>
      </c>
      <c r="H37" t="s">
        <v>11</v>
      </c>
      <c r="I37" t="str">
        <f>_xlfn.CONCAT("M",C37,"x",D37)</f>
        <v>M5x16</v>
      </c>
      <c r="J37" t="str">
        <f t="shared" si="0"/>
        <v>ISO10642, DIN7991</v>
      </c>
      <c r="K37" t="str">
        <f t="shared" si="1"/>
        <v>H3</v>
      </c>
      <c r="L37" t="str">
        <f t="shared" si="2"/>
        <v>ISO10642.svg</v>
      </c>
    </row>
    <row r="38" spans="1:12" x14ac:dyDescent="0.25">
      <c r="A38" t="s">
        <v>65</v>
      </c>
      <c r="B38" t="s">
        <v>9</v>
      </c>
      <c r="C38">
        <v>5</v>
      </c>
      <c r="D38">
        <v>10</v>
      </c>
      <c r="E38">
        <v>7991</v>
      </c>
      <c r="F38">
        <v>10642</v>
      </c>
      <c r="G38" t="s">
        <v>10</v>
      </c>
      <c r="H38" t="s">
        <v>11</v>
      </c>
      <c r="I38" t="str">
        <f>_xlfn.CONCAT("M",C38,"x",D38)</f>
        <v>M5x10</v>
      </c>
      <c r="J38" t="str">
        <f t="shared" si="0"/>
        <v>ISO10642, DIN7991</v>
      </c>
      <c r="K38" t="str">
        <f t="shared" si="1"/>
        <v>H3</v>
      </c>
      <c r="L38" t="str">
        <f t="shared" si="2"/>
        <v>ISO10642.svg</v>
      </c>
    </row>
    <row r="39" spans="1:12" x14ac:dyDescent="0.25">
      <c r="A39" t="s">
        <v>66</v>
      </c>
      <c r="B39" t="s">
        <v>67</v>
      </c>
      <c r="C39">
        <v>3</v>
      </c>
      <c r="D39">
        <v>14</v>
      </c>
      <c r="G39" t="s">
        <v>10</v>
      </c>
      <c r="H39" t="s">
        <v>11</v>
      </c>
      <c r="I39" t="str">
        <f>_xlfn.CONCAT("M",C39,"x",D39)</f>
        <v>M3x14</v>
      </c>
      <c r="J39" t="str">
        <f t="shared" si="0"/>
        <v>ISO, DIN</v>
      </c>
      <c r="L39" t="str">
        <f t="shared" si="2"/>
        <v>ISO.svg</v>
      </c>
    </row>
    <row r="40" spans="1:12" x14ac:dyDescent="0.25">
      <c r="A40" t="s">
        <v>68</v>
      </c>
      <c r="B40" t="s">
        <v>53</v>
      </c>
      <c r="C40">
        <v>5</v>
      </c>
      <c r="D40">
        <v>6</v>
      </c>
      <c r="G40" t="s">
        <v>10</v>
      </c>
      <c r="H40" t="s">
        <v>11</v>
      </c>
      <c r="I40" t="str">
        <f>_xlfn.CONCAT("M",C40,"x",D40)</f>
        <v>M5x6</v>
      </c>
      <c r="J40" t="str">
        <f t="shared" si="0"/>
        <v>ISO, DIN</v>
      </c>
      <c r="K40" t="str">
        <f t="shared" si="1"/>
        <v>H3</v>
      </c>
      <c r="L40" t="str">
        <f t="shared" si="2"/>
        <v>ISO.svg</v>
      </c>
    </row>
    <row r="41" spans="1:12" x14ac:dyDescent="0.25">
      <c r="A41" t="s">
        <v>69</v>
      </c>
      <c r="B41" t="s">
        <v>59</v>
      </c>
      <c r="C41">
        <v>5</v>
      </c>
      <c r="D41">
        <v>8</v>
      </c>
      <c r="E41">
        <v>912</v>
      </c>
      <c r="F41">
        <v>4762</v>
      </c>
      <c r="G41" t="s">
        <v>10</v>
      </c>
      <c r="H41" t="s">
        <v>11</v>
      </c>
      <c r="I41" t="str">
        <f>_xlfn.CONCAT("M",C41,"x",D41)</f>
        <v>M5x8</v>
      </c>
      <c r="J41" t="str">
        <f t="shared" si="0"/>
        <v>ISO4762, DIN912</v>
      </c>
      <c r="K41" t="str">
        <f t="shared" si="1"/>
        <v>H4</v>
      </c>
      <c r="L41" t="str">
        <f t="shared" si="2"/>
        <v>ISO4762.svg</v>
      </c>
    </row>
    <row r="42" spans="1:12" x14ac:dyDescent="0.25">
      <c r="A42" t="s">
        <v>70</v>
      </c>
      <c r="B42" t="s">
        <v>32</v>
      </c>
      <c r="C42">
        <v>5</v>
      </c>
      <c r="D42">
        <v>10</v>
      </c>
      <c r="E42">
        <v>912</v>
      </c>
      <c r="F42">
        <v>4762</v>
      </c>
      <c r="G42" t="s">
        <v>10</v>
      </c>
      <c r="H42" t="s">
        <v>11</v>
      </c>
      <c r="I42" t="str">
        <f>_xlfn.CONCAT("M",C42,"x",D42)</f>
        <v>M5x10</v>
      </c>
      <c r="J42" t="str">
        <f t="shared" si="0"/>
        <v>ISO4762, DIN912</v>
      </c>
      <c r="K42" t="str">
        <f t="shared" si="1"/>
        <v>H4</v>
      </c>
      <c r="L42" t="str">
        <f t="shared" si="2"/>
        <v>ISO4762.svg</v>
      </c>
    </row>
    <row r="43" spans="1:12" x14ac:dyDescent="0.25">
      <c r="A43" t="s">
        <v>71</v>
      </c>
      <c r="B43" t="s">
        <v>72</v>
      </c>
      <c r="C43">
        <v>5</v>
      </c>
      <c r="D43">
        <v>8</v>
      </c>
      <c r="G43" t="s">
        <v>28</v>
      </c>
      <c r="I43" t="str">
        <f>_xlfn.CONCAT("M",C43,"x",D43)</f>
        <v>M5x8</v>
      </c>
      <c r="J43" t="str">
        <f t="shared" si="0"/>
        <v>ISO, DIN</v>
      </c>
      <c r="K43" t="str">
        <f t="shared" si="1"/>
        <v>H3</v>
      </c>
      <c r="L43" t="str">
        <f t="shared" si="2"/>
        <v>ISO.svg</v>
      </c>
    </row>
    <row r="44" spans="1:12" x14ac:dyDescent="0.25">
      <c r="A44" t="s">
        <v>73</v>
      </c>
      <c r="B44" t="s">
        <v>74</v>
      </c>
      <c r="C44">
        <v>5</v>
      </c>
      <c r="D44">
        <v>12</v>
      </c>
      <c r="E44">
        <v>7991</v>
      </c>
      <c r="F44">
        <v>10642</v>
      </c>
      <c r="G44" t="s">
        <v>10</v>
      </c>
      <c r="H44" t="s">
        <v>11</v>
      </c>
      <c r="I44" t="str">
        <f>_xlfn.CONCAT("M",C44,"x",D44)</f>
        <v>M5x12</v>
      </c>
      <c r="J44" t="str">
        <f t="shared" si="0"/>
        <v>ISO10642, DIN7991</v>
      </c>
      <c r="K44" t="str">
        <f t="shared" si="1"/>
        <v>H3</v>
      </c>
      <c r="L44" t="str">
        <f t="shared" si="2"/>
        <v>ISO10642.svg</v>
      </c>
    </row>
    <row r="45" spans="1:12" x14ac:dyDescent="0.25">
      <c r="A45" t="s">
        <v>75</v>
      </c>
      <c r="B45" t="s">
        <v>76</v>
      </c>
      <c r="C45">
        <v>5</v>
      </c>
      <c r="D45" t="s">
        <v>18</v>
      </c>
      <c r="E45">
        <v>562</v>
      </c>
      <c r="G45" t="s">
        <v>28</v>
      </c>
      <c r="I45" t="s">
        <v>108</v>
      </c>
      <c r="J45" t="str">
        <f t="shared" si="0"/>
        <v>ISO, DIN562</v>
      </c>
      <c r="K45" t="s">
        <v>113</v>
      </c>
      <c r="L45" t="str">
        <f t="shared" si="2"/>
        <v>ISO.svg</v>
      </c>
    </row>
    <row r="46" spans="1:12" x14ac:dyDescent="0.25">
      <c r="A46" t="s">
        <v>77</v>
      </c>
      <c r="B46" t="s">
        <v>78</v>
      </c>
      <c r="C46">
        <v>5</v>
      </c>
      <c r="D46" t="s">
        <v>18</v>
      </c>
      <c r="G46" t="s">
        <v>28</v>
      </c>
      <c r="I46" t="s">
        <v>108</v>
      </c>
      <c r="J46" t="str">
        <f t="shared" si="0"/>
        <v>ISO, DIN</v>
      </c>
      <c r="L46" t="str">
        <f t="shared" si="2"/>
        <v>ISO.svg</v>
      </c>
    </row>
    <row r="47" spans="1:12" x14ac:dyDescent="0.25">
      <c r="A47" t="s">
        <v>79</v>
      </c>
      <c r="B47" t="s">
        <v>9</v>
      </c>
      <c r="C47">
        <v>5</v>
      </c>
      <c r="D47">
        <v>20</v>
      </c>
      <c r="E47">
        <v>7991</v>
      </c>
      <c r="F47">
        <v>10642</v>
      </c>
      <c r="G47" t="s">
        <v>10</v>
      </c>
      <c r="H47" t="s">
        <v>11</v>
      </c>
      <c r="I47" t="str">
        <f>_xlfn.CONCAT("M",C47,"x",D47)</f>
        <v>M5x20</v>
      </c>
      <c r="J47" t="str">
        <f t="shared" si="0"/>
        <v>ISO10642, DIN7991</v>
      </c>
      <c r="K47" t="str">
        <f t="shared" si="1"/>
        <v>H3</v>
      </c>
      <c r="L47" t="str">
        <f t="shared" si="2"/>
        <v>ISO10642.svg</v>
      </c>
    </row>
    <row r="48" spans="1:12" x14ac:dyDescent="0.25">
      <c r="A48" t="s">
        <v>80</v>
      </c>
      <c r="B48" t="s">
        <v>32</v>
      </c>
      <c r="C48">
        <v>5</v>
      </c>
      <c r="D48">
        <v>8</v>
      </c>
      <c r="E48">
        <v>912</v>
      </c>
      <c r="F48">
        <v>4762</v>
      </c>
      <c r="G48" t="s">
        <v>10</v>
      </c>
      <c r="H48" t="s">
        <v>11</v>
      </c>
      <c r="I48" t="str">
        <f>_xlfn.CONCAT("M",C48,"x",D48)</f>
        <v>M5x8</v>
      </c>
      <c r="J48" t="str">
        <f t="shared" si="0"/>
        <v>ISO4762, DIN912</v>
      </c>
      <c r="K48" t="str">
        <f t="shared" si="1"/>
        <v>H4</v>
      </c>
      <c r="L48" t="str">
        <f t="shared" si="2"/>
        <v>ISO4762.svg</v>
      </c>
    </row>
    <row r="49" spans="1:12" x14ac:dyDescent="0.25">
      <c r="A49" t="s">
        <v>81</v>
      </c>
      <c r="B49" t="s">
        <v>82</v>
      </c>
      <c r="C49">
        <v>5</v>
      </c>
      <c r="D49" t="s">
        <v>18</v>
      </c>
      <c r="E49">
        <v>7243</v>
      </c>
      <c r="F49">
        <v>7243</v>
      </c>
      <c r="G49" t="s">
        <v>37</v>
      </c>
      <c r="I49" t="s">
        <v>108</v>
      </c>
      <c r="J49" t="str">
        <f t="shared" si="0"/>
        <v>ISO7243, DIN7243</v>
      </c>
      <c r="L49" t="str">
        <f t="shared" si="2"/>
        <v>ISO7243.svg</v>
      </c>
    </row>
    <row r="50" spans="1:12" x14ac:dyDescent="0.25">
      <c r="A50" t="s">
        <v>83</v>
      </c>
      <c r="B50" t="s">
        <v>36</v>
      </c>
      <c r="C50">
        <v>5</v>
      </c>
      <c r="D50">
        <v>36</v>
      </c>
      <c r="E50">
        <v>6325</v>
      </c>
      <c r="F50">
        <v>8734</v>
      </c>
      <c r="G50" t="s">
        <v>37</v>
      </c>
      <c r="I50" t="str">
        <f>_xlfn.CONCAT("M",C50,"x",D50)</f>
        <v>M5x36</v>
      </c>
      <c r="J50" t="str">
        <f t="shared" si="0"/>
        <v>ISO8734, DIN6325</v>
      </c>
      <c r="L50" t="str">
        <f t="shared" si="2"/>
        <v>ISO8734.svg</v>
      </c>
    </row>
    <row r="51" spans="1:12" x14ac:dyDescent="0.25">
      <c r="A51" t="s">
        <v>84</v>
      </c>
      <c r="B51" t="s">
        <v>85</v>
      </c>
      <c r="C51">
        <v>5</v>
      </c>
      <c r="D51">
        <v>25</v>
      </c>
      <c r="E51">
        <v>912</v>
      </c>
      <c r="F51">
        <v>4762</v>
      </c>
      <c r="G51" t="s">
        <v>10</v>
      </c>
      <c r="H51" t="s">
        <v>11</v>
      </c>
      <c r="I51" t="str">
        <f>_xlfn.CONCAT("M",C51,"x",D51)</f>
        <v>M5x25</v>
      </c>
      <c r="J51" t="str">
        <f t="shared" si="0"/>
        <v>ISO4762, DIN912</v>
      </c>
      <c r="K51" t="str">
        <f t="shared" si="1"/>
        <v>H4</v>
      </c>
      <c r="L51" t="str">
        <f t="shared" si="2"/>
        <v>ISO4762.svg</v>
      </c>
    </row>
    <row r="52" spans="1:12" x14ac:dyDescent="0.25">
      <c r="A52" t="s">
        <v>86</v>
      </c>
      <c r="B52" t="s">
        <v>17</v>
      </c>
      <c r="C52">
        <v>5</v>
      </c>
      <c r="D52">
        <v>6</v>
      </c>
      <c r="E52">
        <v>125</v>
      </c>
      <c r="F52">
        <v>7089</v>
      </c>
      <c r="G52" t="s">
        <v>19</v>
      </c>
      <c r="I52" t="str">
        <f>_xlfn.CONCAT("M",C52,"x",D52)</f>
        <v>M5x6</v>
      </c>
      <c r="J52" t="str">
        <f t="shared" si="0"/>
        <v>ISO7089, DIN125</v>
      </c>
      <c r="K52" t="str">
        <f t="shared" si="1"/>
        <v>M5x6</v>
      </c>
      <c r="L52" t="str">
        <f t="shared" si="2"/>
        <v>ISO7089.svg</v>
      </c>
    </row>
    <row r="53" spans="1:12" x14ac:dyDescent="0.25">
      <c r="A53" t="s">
        <v>87</v>
      </c>
      <c r="B53" t="s">
        <v>88</v>
      </c>
      <c r="C53">
        <v>5</v>
      </c>
      <c r="D53">
        <v>6</v>
      </c>
      <c r="E53">
        <v>7380</v>
      </c>
      <c r="F53">
        <v>7380</v>
      </c>
      <c r="G53" t="s">
        <v>10</v>
      </c>
      <c r="H53" t="s">
        <v>11</v>
      </c>
      <c r="I53" t="str">
        <f>_xlfn.CONCAT("M",C53,"x",D53)</f>
        <v>M5x6</v>
      </c>
      <c r="J53" t="str">
        <f t="shared" si="0"/>
        <v>ISO7380, DIN7380</v>
      </c>
      <c r="K53" t="s">
        <v>114</v>
      </c>
      <c r="L53" t="str">
        <f t="shared" si="2"/>
        <v>ISO7380.svg</v>
      </c>
    </row>
    <row r="54" spans="1:12" x14ac:dyDescent="0.25">
      <c r="A54" t="s">
        <v>89</v>
      </c>
      <c r="B54" t="s">
        <v>32</v>
      </c>
      <c r="C54">
        <v>5</v>
      </c>
      <c r="D54">
        <v>6</v>
      </c>
      <c r="E54">
        <v>912</v>
      </c>
      <c r="F54">
        <v>4762</v>
      </c>
      <c r="G54" t="s">
        <v>10</v>
      </c>
      <c r="H54" t="s">
        <v>11</v>
      </c>
      <c r="I54" t="str">
        <f>_xlfn.CONCAT("M",C54,"x",D54)</f>
        <v>M5x6</v>
      </c>
      <c r="J54" t="str">
        <f t="shared" si="0"/>
        <v>ISO4762, DIN912</v>
      </c>
      <c r="K54" t="s">
        <v>114</v>
      </c>
      <c r="L54" t="str">
        <f t="shared" si="2"/>
        <v>ISO4762.svg</v>
      </c>
    </row>
    <row r="55" spans="1:12" x14ac:dyDescent="0.25">
      <c r="A55" t="s">
        <v>90</v>
      </c>
      <c r="B55" t="s">
        <v>82</v>
      </c>
      <c r="C55">
        <v>6</v>
      </c>
      <c r="D55" t="s">
        <v>18</v>
      </c>
      <c r="G55" t="s">
        <v>37</v>
      </c>
      <c r="I55" t="s">
        <v>109</v>
      </c>
      <c r="J55" t="str">
        <f t="shared" si="0"/>
        <v>ISO, DIN</v>
      </c>
      <c r="K55" t="s">
        <v>116</v>
      </c>
      <c r="L55" t="str">
        <f t="shared" si="2"/>
        <v>ISO.svg</v>
      </c>
    </row>
    <row r="56" spans="1:12" x14ac:dyDescent="0.25">
      <c r="A56" t="s">
        <v>91</v>
      </c>
      <c r="B56" t="s">
        <v>23</v>
      </c>
      <c r="C56">
        <v>6</v>
      </c>
      <c r="D56">
        <v>20</v>
      </c>
      <c r="E56">
        <v>7991</v>
      </c>
      <c r="F56">
        <v>10642</v>
      </c>
      <c r="G56" t="s">
        <v>10</v>
      </c>
      <c r="H56" t="s">
        <v>11</v>
      </c>
      <c r="I56" t="str">
        <f>_xlfn.CONCAT("M",C56,"x",D56)</f>
        <v>M6x20</v>
      </c>
      <c r="J56" t="str">
        <f t="shared" si="0"/>
        <v>ISO10642, DIN7991</v>
      </c>
      <c r="K56" t="str">
        <f t="shared" si="1"/>
        <v>H4</v>
      </c>
      <c r="L56" t="str">
        <f t="shared" si="2"/>
        <v>ISO10642.svg</v>
      </c>
    </row>
    <row r="57" spans="1:12" x14ac:dyDescent="0.25">
      <c r="A57" t="s">
        <v>92</v>
      </c>
      <c r="B57" t="s">
        <v>72</v>
      </c>
      <c r="C57">
        <v>5</v>
      </c>
      <c r="D57">
        <v>10</v>
      </c>
      <c r="G57" t="s">
        <v>28</v>
      </c>
      <c r="I57" t="str">
        <f>_xlfn.CONCAT("M",C57,"x",D57)</f>
        <v>M5x10</v>
      </c>
      <c r="J57" t="str">
        <f t="shared" si="0"/>
        <v>ISO, DIN</v>
      </c>
      <c r="K57" t="str">
        <f t="shared" si="1"/>
        <v>H5</v>
      </c>
      <c r="L57" t="str">
        <f t="shared" si="2"/>
        <v>ISO.svg</v>
      </c>
    </row>
    <row r="58" spans="1:12" x14ac:dyDescent="0.25">
      <c r="A58" t="s">
        <v>93</v>
      </c>
      <c r="B58" t="s">
        <v>21</v>
      </c>
      <c r="C58">
        <v>6</v>
      </c>
      <c r="D58">
        <v>35</v>
      </c>
      <c r="E58">
        <v>7991</v>
      </c>
      <c r="F58">
        <v>10642</v>
      </c>
      <c r="G58" t="s">
        <v>10</v>
      </c>
      <c r="H58" t="s">
        <v>11</v>
      </c>
      <c r="I58" t="str">
        <f>_xlfn.CONCAT("M",C58,"x",D58)</f>
        <v>M6x35</v>
      </c>
      <c r="J58" t="str">
        <f t="shared" si="0"/>
        <v>ISO10642, DIN7991</v>
      </c>
      <c r="K58" t="str">
        <f t="shared" si="1"/>
        <v>H4</v>
      </c>
      <c r="L58" t="str">
        <f t="shared" si="2"/>
        <v>ISO10642.svg</v>
      </c>
    </row>
    <row r="59" spans="1:12" x14ac:dyDescent="0.25">
      <c r="A59" t="s">
        <v>94</v>
      </c>
      <c r="B59" t="s">
        <v>95</v>
      </c>
      <c r="C59">
        <v>6</v>
      </c>
      <c r="D59">
        <v>14</v>
      </c>
      <c r="E59">
        <v>7380</v>
      </c>
      <c r="F59">
        <v>7380</v>
      </c>
      <c r="G59" t="s">
        <v>10</v>
      </c>
      <c r="H59" t="s">
        <v>11</v>
      </c>
      <c r="I59" t="str">
        <f>_xlfn.CONCAT("M",C59,"x",D59)</f>
        <v>M6x14</v>
      </c>
      <c r="J59" t="str">
        <f t="shared" si="0"/>
        <v>ISO7380, DIN7380</v>
      </c>
      <c r="K59" t="s">
        <v>114</v>
      </c>
      <c r="L59" t="str">
        <f t="shared" si="2"/>
        <v>ISO7380.svg</v>
      </c>
    </row>
    <row r="60" spans="1:12" x14ac:dyDescent="0.25">
      <c r="A60" t="s">
        <v>96</v>
      </c>
      <c r="B60" t="s">
        <v>23</v>
      </c>
      <c r="C60">
        <v>6</v>
      </c>
      <c r="D60">
        <v>12</v>
      </c>
      <c r="E60">
        <v>7991</v>
      </c>
      <c r="F60">
        <v>10642</v>
      </c>
      <c r="G60" t="s">
        <v>10</v>
      </c>
      <c r="H60" t="s">
        <v>11</v>
      </c>
      <c r="I60" t="str">
        <f>_xlfn.CONCAT("M",C60,"x",D60)</f>
        <v>M6x12</v>
      </c>
      <c r="J60" t="str">
        <f t="shared" si="0"/>
        <v>ISO10642, DIN7991</v>
      </c>
      <c r="K60" t="str">
        <f t="shared" si="1"/>
        <v>H4</v>
      </c>
      <c r="L60" t="str">
        <f t="shared" si="2"/>
        <v>ISO10642.svg</v>
      </c>
    </row>
    <row r="61" spans="1:12" x14ac:dyDescent="0.25">
      <c r="A61" t="s">
        <v>97</v>
      </c>
      <c r="B61" t="s">
        <v>27</v>
      </c>
      <c r="C61">
        <v>6</v>
      </c>
      <c r="D61" t="s">
        <v>18</v>
      </c>
      <c r="E61">
        <v>934</v>
      </c>
      <c r="F61">
        <v>4032</v>
      </c>
      <c r="G61" t="s">
        <v>28</v>
      </c>
      <c r="H61" t="s">
        <v>11</v>
      </c>
      <c r="I61" t="s">
        <v>109</v>
      </c>
      <c r="J61" t="str">
        <f t="shared" si="0"/>
        <v>ISO4032, DIN934</v>
      </c>
      <c r="K61" t="s">
        <v>115</v>
      </c>
      <c r="L61" t="str">
        <f t="shared" si="2"/>
        <v>ISO4032.svg</v>
      </c>
    </row>
    <row r="62" spans="1:12" x14ac:dyDescent="0.25">
      <c r="A62" t="s">
        <v>98</v>
      </c>
      <c r="B62" t="s">
        <v>36</v>
      </c>
      <c r="C62">
        <v>6</v>
      </c>
      <c r="D62">
        <v>36</v>
      </c>
      <c r="E62">
        <v>6325</v>
      </c>
      <c r="F62">
        <v>8734</v>
      </c>
      <c r="G62" t="s">
        <v>37</v>
      </c>
      <c r="I62" t="str">
        <f>_xlfn.CONCAT("M",C62,"x",D62)</f>
        <v>M6x36</v>
      </c>
      <c r="J62" t="str">
        <f t="shared" si="0"/>
        <v>ISO8734, DIN6325</v>
      </c>
      <c r="L62" t="str">
        <f t="shared" si="2"/>
        <v>ISO8734.svg</v>
      </c>
    </row>
    <row r="63" spans="1:12" x14ac:dyDescent="0.25">
      <c r="A63" t="s">
        <v>99</v>
      </c>
      <c r="B63" t="s">
        <v>17</v>
      </c>
      <c r="C63">
        <v>6</v>
      </c>
      <c r="D63" t="s">
        <v>18</v>
      </c>
      <c r="E63">
        <v>125</v>
      </c>
      <c r="F63">
        <v>7089</v>
      </c>
      <c r="G63" t="s">
        <v>19</v>
      </c>
      <c r="I63" t="s">
        <v>109</v>
      </c>
      <c r="J63" t="str">
        <f t="shared" si="0"/>
        <v>ISO7089, DIN125</v>
      </c>
      <c r="L63" t="str">
        <f t="shared" si="2"/>
        <v>ISO7089.svg</v>
      </c>
    </row>
    <row r="64" spans="1:12" x14ac:dyDescent="0.25">
      <c r="A64" t="s">
        <v>100</v>
      </c>
      <c r="B64" t="s">
        <v>101</v>
      </c>
      <c r="C64">
        <v>6</v>
      </c>
      <c r="D64" t="s">
        <v>18</v>
      </c>
      <c r="E64">
        <v>125</v>
      </c>
      <c r="F64">
        <v>7089</v>
      </c>
      <c r="G64" t="s">
        <v>19</v>
      </c>
      <c r="I64" t="s">
        <v>109</v>
      </c>
      <c r="J64" t="str">
        <f t="shared" si="0"/>
        <v>ISO7089, DIN125</v>
      </c>
      <c r="L64" t="str">
        <f t="shared" si="2"/>
        <v>ISO7089.svg</v>
      </c>
    </row>
    <row r="65" spans="1:12" x14ac:dyDescent="0.25">
      <c r="A65" t="s">
        <v>102</v>
      </c>
      <c r="B65" t="s">
        <v>23</v>
      </c>
      <c r="C65">
        <v>6</v>
      </c>
      <c r="D65">
        <v>14</v>
      </c>
      <c r="E65">
        <v>7991</v>
      </c>
      <c r="F65">
        <v>10642</v>
      </c>
      <c r="G65" t="s">
        <v>10</v>
      </c>
      <c r="H65" t="s">
        <v>11</v>
      </c>
      <c r="I65" t="str">
        <f>_xlfn.CONCAT("M",C65,"x",D65)</f>
        <v>M6x14</v>
      </c>
      <c r="J65" t="str">
        <f t="shared" si="0"/>
        <v>ISO10642, DIN7991</v>
      </c>
      <c r="K65" t="str">
        <f t="shared" si="1"/>
        <v>H4</v>
      </c>
      <c r="L65" t="str">
        <f t="shared" si="2"/>
        <v>ISO10642.svg</v>
      </c>
    </row>
    <row r="66" spans="1:12" x14ac:dyDescent="0.25">
      <c r="A66" t="s">
        <v>103</v>
      </c>
      <c r="B66" t="s">
        <v>21</v>
      </c>
      <c r="C66">
        <v>6</v>
      </c>
      <c r="D66">
        <v>25</v>
      </c>
      <c r="E66">
        <v>7991</v>
      </c>
      <c r="F66">
        <v>10642</v>
      </c>
      <c r="G66" t="s">
        <v>10</v>
      </c>
      <c r="H66" t="s">
        <v>11</v>
      </c>
      <c r="I66" t="str">
        <f>_xlfn.CONCAT("M",C66,"x",D66)</f>
        <v>M6x25</v>
      </c>
      <c r="J66" t="str">
        <f t="shared" si="0"/>
        <v>ISO10642, DIN7991</v>
      </c>
      <c r="K66" t="str">
        <f t="shared" si="1"/>
        <v>H4</v>
      </c>
      <c r="L66" t="str">
        <f t="shared" si="2"/>
        <v>ISO10642.svg</v>
      </c>
    </row>
    <row r="67" spans="1:12" x14ac:dyDescent="0.25">
      <c r="A67" t="s">
        <v>104</v>
      </c>
      <c r="B67" t="s">
        <v>105</v>
      </c>
      <c r="C67">
        <v>8</v>
      </c>
      <c r="D67">
        <v>12</v>
      </c>
      <c r="E67">
        <v>913</v>
      </c>
      <c r="F67">
        <v>4026</v>
      </c>
      <c r="G67" t="s">
        <v>10</v>
      </c>
      <c r="H67" t="s">
        <v>11</v>
      </c>
      <c r="I67" t="str">
        <f t="shared" ref="I67" si="3">_xlfn.CONCAT("M",C67,"x",D67)</f>
        <v>M8x12</v>
      </c>
      <c r="J67" t="str">
        <f t="shared" ref="J67" si="4">_xlfn.CONCAT("ISO",F67,", ","DIN",E67)</f>
        <v>ISO4026, DIN913</v>
      </c>
      <c r="K67" t="str">
        <f t="shared" ref="K67" si="5">TRIM(RIGHT(SUBSTITUTE(A67," ",REPT(" ",100)),100))</f>
        <v>H4</v>
      </c>
      <c r="L67" t="str">
        <f t="shared" ref="L67" si="6">_xlfn.CONCAT("ISO",F67,".svg")</f>
        <v>ISO4026.svg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screws_3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kosma</dc:creator>
  <cp:lastModifiedBy>kosma</cp:lastModifiedBy>
  <dcterms:created xsi:type="dcterms:W3CDTF">2025-01-27T17:43:21Z</dcterms:created>
  <dcterms:modified xsi:type="dcterms:W3CDTF">2025-01-27T18:00:36Z</dcterms:modified>
</cp:coreProperties>
</file>